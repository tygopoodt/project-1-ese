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<sst xmlns="http://schemas.openxmlformats.org/spreadsheetml/2006/main" count="32" uniqueCount="30">
  <si>
    <t>Vandaag</t>
  </si>
  <si>
    <t>week jaar</t>
  </si>
  <si>
    <t>Project week</t>
  </si>
  <si>
    <t>belangrijke inleveringen</t>
  </si>
  <si>
    <t>sep</t>
  </si>
  <si>
    <t>Hoofdstuk functioneel ontwerp en globale planning</t>
  </si>
  <si>
    <t>Hoofdstuk globaal technisch ontwerp | IPV-formulier 1 | Gedetailleerde planning</t>
  </si>
  <si>
    <t>okt</t>
  </si>
  <si>
    <r>
      <rPr>
        <rFont val="Arial"/>
        <b/>
        <color theme="1"/>
      </rPr>
      <t>Target :</t>
    </r>
    <r>
      <rPr>
        <rFont val="Arial"/>
        <color theme="1"/>
      </rPr>
      <t xml:space="preserve"> F0 t/m F6 zijn los getest</t>
    </r>
  </si>
  <si>
    <t>uitloop</t>
  </si>
  <si>
    <t>Hoofdstuk technisch ontwerp</t>
  </si>
  <si>
    <r>
      <rPr>
        <rFont val="Arial"/>
        <b/>
        <color theme="1"/>
      </rPr>
      <t xml:space="preserve">Target : </t>
    </r>
    <r>
      <rPr>
        <rFont val="Arial"/>
        <b val="0"/>
        <color theme="1"/>
      </rPr>
      <t>F0t/m3 &amp; F4t/m6 werken apart van elkaar</t>
    </r>
  </si>
  <si>
    <t xml:space="preserve"> herfstvakantie</t>
  </si>
  <si>
    <r>
      <rPr>
        <rFont val="Arial"/>
        <color theme="1"/>
      </rPr>
      <t xml:space="preserve">Tentamenweek </t>
    </r>
    <r>
      <rPr>
        <rFont val="Arial"/>
        <b/>
        <color theme="1"/>
      </rPr>
      <t>voorbereiding</t>
    </r>
  </si>
  <si>
    <t>-</t>
  </si>
  <si>
    <t>nov</t>
  </si>
  <si>
    <t>Tentamenweek periode 1 | + DEMO</t>
  </si>
  <si>
    <t>les vrij?</t>
  </si>
  <si>
    <r>
      <rPr>
        <rFont val="Arial"/>
        <b/>
        <color theme="1"/>
      </rPr>
      <t>MVP</t>
    </r>
    <r>
      <rPr>
        <rFont val="Arial"/>
        <color theme="1"/>
      </rPr>
      <t>(minium viable product)</t>
    </r>
  </si>
  <si>
    <t>hier ergens</t>
  </si>
  <si>
    <r>
      <rPr>
        <rFont val="Arial"/>
        <b/>
        <color theme="1"/>
      </rPr>
      <t>MVP</t>
    </r>
    <r>
      <rPr>
        <rFont val="Arial"/>
        <color theme="1"/>
      </rPr>
      <t>(minium viable product)</t>
    </r>
  </si>
  <si>
    <t>dec</t>
  </si>
  <si>
    <t>IPV-formulier 2</t>
  </si>
  <si>
    <t>Polishen</t>
  </si>
  <si>
    <t xml:space="preserve">Concept compleet productrapport </t>
  </si>
  <si>
    <t>Kerstvakantie</t>
  </si>
  <si>
    <t>jan</t>
  </si>
  <si>
    <t>Herkansingsweek periode 1 | Compleet productrapport Procesverslag</t>
  </si>
  <si>
    <t xml:space="preserve">Tentamenweek periode 2
Product, productpresentatie
en –demonstratie
</t>
  </si>
  <si>
    <t>feb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</si>
</sst>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14">
    <border/>
    <border>
      <top style="thin">
        <color rgb="FF434343"/>
      </top>
    </border>
    <border>
      <left style="thin">
        <color rgb="FF000000"/>
      </left>
      <right style="thin">
        <color rgb="FF000000"/>
      </right>
      <top style="thin">
        <color rgb="FF434343"/>
      </top>
    </border>
    <border>
      <right style="thin">
        <color rgb="FF000000"/>
      </right>
      <top style="thin">
        <color rgb="FF434343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shrinkToFit="0" wrapText="1"/>
    </xf>
    <xf borderId="4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 shrinkToFit="0" wrapText="1"/>
    </xf>
    <xf borderId="7" fillId="0" fontId="1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shrinkToFit="0" wrapText="1"/>
    </xf>
    <xf borderId="10" fillId="0" fontId="1" numFmtId="0" xfId="0" applyBorder="1" applyFont="1"/>
    <xf borderId="10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wrapText="1"/>
    </xf>
    <xf borderId="10" fillId="2" fontId="1" numFmtId="0" xfId="0" applyBorder="1" applyFill="1" applyFont="1"/>
    <xf borderId="10" fillId="2" fontId="1" numFmtId="0" xfId="0" applyAlignment="1" applyBorder="1" applyFill="1" applyFont="1">
      <alignment readingOrder="0"/>
    </xf>
    <xf borderId="10" fillId="2" fontId="1" numFmtId="0" xfId="0" applyAlignment="1" applyBorder="1" applyFill="1" applyFont="1">
      <alignment readingOrder="0" shrinkToFit="0" wrapText="1"/>
    </xf>
    <xf borderId="10" fillId="3" fontId="1" numFmtId="0" xfId="0" applyBorder="1" applyFill="1" applyFont="1"/>
    <xf borderId="10" fillId="3" fontId="1" numFmtId="0" xfId="0" applyAlignment="1" applyBorder="1" applyFill="1" applyFont="1">
      <alignment readingOrder="0"/>
    </xf>
    <xf borderId="10" fillId="3" fontId="1" numFmtId="0" xfId="0" applyAlignment="1" applyBorder="1" applyFill="1" applyFont="1">
      <alignment readingOrder="0" shrinkToFit="0" wrapText="1"/>
    </xf>
    <xf borderId="10" fillId="4" fontId="1" numFmtId="0" xfId="0" applyAlignment="1" applyBorder="1" applyFill="1" applyFont="1">
      <alignment readingOrder="0"/>
    </xf>
    <xf borderId="10" fillId="4" fontId="1" numFmtId="0" xfId="0" applyAlignment="1" applyBorder="1" applyFill="1" applyFont="1">
      <alignment readingOrder="0" shrinkToFit="0" wrapText="1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38"/>
    <col customWidth="1" min="5" max="5" width="49.0"/>
    <col customWidth="1" min="6" max="6" width="25.13"/>
  </cols>
  <sheetData>
    <row r="1">
      <c r="E1" s="1"/>
    </row>
    <row r="2">
      <c r="A2" s="2" t="s">
        <v>0</v>
      </c>
      <c r="B2" s="3">
        <f>TODAY()</f>
        <v>46276</v>
      </c>
      <c r="C2" s="2">
        <f>ISOWEEKNUM(B2)</f>
        <v>37</v>
      </c>
      <c r="E2" s="1"/>
    </row>
    <row r="3">
      <c r="C3" s="2" t="s">
        <v>1</v>
      </c>
      <c r="D3" s="2" t="s">
        <v>2</v>
      </c>
      <c r="E3" s="4" t="s">
        <v>3</v>
      </c>
    </row>
    <row r="4">
      <c r="A4" s="5"/>
      <c r="B4" s="6" t="s">
        <v>4</v>
      </c>
      <c r="C4" s="7">
        <v>2.0</v>
      </c>
      <c r="D4" s="7">
        <v>36.0</v>
      </c>
      <c r="E4" s="8"/>
      <c r="F4" s="1"/>
    </row>
    <row r="5">
      <c r="A5" s="5" t="str">
        <f>IF(D5  =C2, "--&gt;", "")</f>
        <v>--&gt;</v>
      </c>
      <c r="B5" s="9"/>
      <c r="C5" s="10">
        <v>3.0</v>
      </c>
      <c r="D5" s="10">
        <v>37.0</v>
      </c>
      <c r="E5" s="11" t="s">
        <v>5</v>
      </c>
      <c r="F5" s="1"/>
    </row>
    <row r="6">
      <c r="A6" s="5" t="str">
        <f>IF(D6  =C2, "-&gt;", "")</f>
        <v/>
      </c>
      <c r="B6" s="12"/>
      <c r="C6" s="13">
        <v>4.0</v>
      </c>
      <c r="D6" s="13">
        <v>38.0</v>
      </c>
      <c r="E6" s="14"/>
      <c r="F6" s="1"/>
    </row>
    <row r="7">
      <c r="A7" s="5" t="str">
        <f>IF(D7  =C2, "-&gt;", "")</f>
        <v/>
      </c>
      <c r="B7" s="15"/>
      <c r="C7" s="16">
        <v>5.0</v>
      </c>
      <c r="D7" s="16">
        <v>39.0</v>
      </c>
      <c r="E7" s="17" t="s">
        <v>6</v>
      </c>
      <c r="F7" s="1"/>
    </row>
    <row r="8">
      <c r="A8" s="5" t="str">
        <f>IF(D8  =C2, "-&gt;", "")</f>
        <v/>
      </c>
      <c r="B8" s="16" t="s">
        <v>7</v>
      </c>
      <c r="C8" s="16">
        <v>6.0</v>
      </c>
      <c r="D8" s="16">
        <v>40.0</v>
      </c>
      <c r="E8" s="17"/>
      <c r="F8" s="4" t="s">
        <v>8</v>
      </c>
    </row>
    <row r="9">
      <c r="A9" s="5" t="str">
        <f>IF(D9  =C4, "-&gt;", "")</f>
        <v/>
      </c>
      <c r="B9" s="15"/>
      <c r="C9" s="16">
        <v>7.0</v>
      </c>
      <c r="D9" s="16">
        <v>41.0</v>
      </c>
      <c r="E9" s="18"/>
      <c r="F9" s="4" t="s">
        <v>9</v>
      </c>
    </row>
    <row r="10">
      <c r="A10" s="5" t="str">
        <f>IF(D10  =C2, "-&gt;", "")</f>
        <v/>
      </c>
      <c r="B10" s="15"/>
      <c r="C10" s="16">
        <v>8.0</v>
      </c>
      <c r="D10" s="16">
        <v>42.0</v>
      </c>
      <c r="E10" s="17" t="s">
        <v>10</v>
      </c>
      <c r="F10" s="19" t="s">
        <v>11</v>
      </c>
    </row>
    <row r="11">
      <c r="A11" s="5" t="str">
        <f>IF(D11  =C2, "-&gt;", "")</f>
        <v/>
      </c>
      <c r="B11" s="20"/>
      <c r="C11" s="21">
        <v>9.0</v>
      </c>
      <c r="D11" s="21">
        <v>43.0</v>
      </c>
      <c r="E11" s="22" t="s">
        <v>12</v>
      </c>
      <c r="F11" s="1"/>
    </row>
    <row r="12">
      <c r="A12" s="5" t="str">
        <f>IF(D12  =C2, "-&gt;", "")</f>
        <v/>
      </c>
      <c r="B12" s="23"/>
      <c r="C12" s="24">
        <v>10.0</v>
      </c>
      <c r="D12" s="24">
        <v>44.0</v>
      </c>
      <c r="E12" s="25" t="s">
        <v>13</v>
      </c>
      <c r="F12" s="2" t="s">
        <v>14</v>
      </c>
    </row>
    <row r="13">
      <c r="A13" s="5" t="str">
        <f>IF(D13  =C2, "-&gt;", "")</f>
        <v/>
      </c>
      <c r="B13" s="26" t="s">
        <v>15</v>
      </c>
      <c r="C13" s="26">
        <v>11.0</v>
      </c>
      <c r="D13" s="26">
        <v>45.0</v>
      </c>
      <c r="E13" s="27" t="s">
        <v>16</v>
      </c>
    </row>
    <row r="14">
      <c r="A14" s="5" t="str">
        <f>IF(D14  =C2, "-&gt;", "")</f>
        <v/>
      </c>
      <c r="B14" s="15"/>
      <c r="C14" s="16">
        <v>12.0</v>
      </c>
      <c r="D14" s="16">
        <v>46.0</v>
      </c>
      <c r="E14" s="17" t="s">
        <v>17</v>
      </c>
      <c r="F14" s="1"/>
    </row>
    <row r="15">
      <c r="A15" s="5" t="str">
        <f>IF(D15  =C2, "-&gt;", "")</f>
        <v/>
      </c>
      <c r="B15" s="15"/>
      <c r="C15" s="16">
        <v>13.0</v>
      </c>
      <c r="D15" s="16">
        <v>47.0</v>
      </c>
      <c r="E15" s="18"/>
      <c r="F15" s="2" t="s">
        <v>18</v>
      </c>
      <c r="G15" s="2" t="s">
        <v>19</v>
      </c>
    </row>
    <row r="16">
      <c r="A16" s="5" t="str">
        <f>IF(D16  =C2, "-&gt;", "")</f>
        <v/>
      </c>
      <c r="B16" s="15"/>
      <c r="C16" s="16">
        <v>14.0</v>
      </c>
      <c r="D16" s="16">
        <v>48.0</v>
      </c>
      <c r="E16" s="18"/>
      <c r="F16" s="2" t="s">
        <v>20</v>
      </c>
    </row>
    <row r="17">
      <c r="A17" s="5" t="str">
        <f>IF(D17  =C2, "-&gt;", "")</f>
        <v/>
      </c>
      <c r="B17" s="16" t="s">
        <v>21</v>
      </c>
      <c r="C17" s="16">
        <v>15.0</v>
      </c>
      <c r="D17" s="16">
        <v>49.0</v>
      </c>
      <c r="E17" s="17" t="s">
        <v>22</v>
      </c>
      <c r="F17" s="4"/>
    </row>
    <row r="18">
      <c r="A18" s="5" t="str">
        <f>IF(D18  =C2, "-&gt;", "")</f>
        <v/>
      </c>
      <c r="B18" s="15"/>
      <c r="C18" s="16">
        <v>16.0</v>
      </c>
      <c r="D18" s="16">
        <v>50.0</v>
      </c>
      <c r="E18" s="18"/>
      <c r="F18" s="4" t="s">
        <v>23</v>
      </c>
    </row>
    <row r="19">
      <c r="A19" s="5" t="str">
        <f>IF(D19  =C2, "-&gt;", "")</f>
        <v/>
      </c>
      <c r="B19" s="15"/>
      <c r="C19" s="16">
        <v>17.0</v>
      </c>
      <c r="D19" s="16">
        <v>51.0</v>
      </c>
      <c r="E19" s="17" t="s">
        <v>24</v>
      </c>
      <c r="F19" s="4" t="s">
        <v>23</v>
      </c>
    </row>
    <row r="20">
      <c r="A20" s="5" t="str">
        <f>IF(D20  =C2, "-&gt;", "")</f>
        <v/>
      </c>
      <c r="B20" s="20"/>
      <c r="C20" s="21">
        <v>18.0</v>
      </c>
      <c r="D20" s="21">
        <v>52.0</v>
      </c>
      <c r="E20" s="22" t="s">
        <v>25</v>
      </c>
      <c r="F20" s="1"/>
    </row>
    <row r="21">
      <c r="A21" s="5" t="str">
        <f>IF(D21  =C2, "-&gt;", "")</f>
        <v/>
      </c>
      <c r="B21" s="21" t="s">
        <v>26</v>
      </c>
      <c r="C21" s="21">
        <v>19.0</v>
      </c>
      <c r="D21" s="21">
        <v>53.0</v>
      </c>
      <c r="E21" s="22" t="s">
        <v>25</v>
      </c>
      <c r="F21" s="1"/>
    </row>
    <row r="22">
      <c r="A22" s="5" t="str">
        <f>IF(D22  =C2, "-&gt;", "")</f>
        <v/>
      </c>
      <c r="B22" s="15"/>
      <c r="C22" s="16">
        <v>20.0</v>
      </c>
      <c r="D22" s="16">
        <v>1.0</v>
      </c>
      <c r="E22" s="18"/>
      <c r="F22" s="1"/>
    </row>
    <row r="23">
      <c r="A23" s="5" t="str">
        <f>IF(D23  =C2, "-&gt;", "")</f>
        <v/>
      </c>
      <c r="B23" s="15"/>
      <c r="C23" s="16">
        <v>21.0</v>
      </c>
      <c r="D23" s="16">
        <v>2.0</v>
      </c>
      <c r="E23" s="18"/>
      <c r="F23" s="1"/>
    </row>
    <row r="24">
      <c r="A24" s="5" t="str">
        <f>IF(D24  =C2, "-&gt;", "")</f>
        <v/>
      </c>
      <c r="B24" s="15"/>
      <c r="C24" s="16">
        <v>22.0</v>
      </c>
      <c r="D24" s="16">
        <v>3.0</v>
      </c>
      <c r="E24" s="17" t="s">
        <v>27</v>
      </c>
      <c r="F24" s="1"/>
    </row>
    <row r="25">
      <c r="A25" s="5" t="str">
        <f>IF(D25  =C2, "-&gt;", "")</f>
        <v/>
      </c>
      <c r="B25" s="15"/>
      <c r="C25" s="16">
        <v>23.0</v>
      </c>
      <c r="D25" s="16">
        <v>4.0</v>
      </c>
      <c r="E25" s="17" t="s">
        <v>28</v>
      </c>
      <c r="F25" s="1"/>
    </row>
    <row r="26">
      <c r="B26" s="28" t="s">
        <v>29</v>
      </c>
      <c r="C26" s="29">
        <v>24.0</v>
      </c>
      <c r="D26" s="29">
        <v>5.0</v>
      </c>
      <c r="E26" s="30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</sheetData>
  <drawing r:id="rId1"/>
</worksheet>
</file>